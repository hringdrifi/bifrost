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d25e66c625c5f55/ドキュメント/Bifrost/outputs/bom_aggregate/"/>
    </mc:Choice>
  </mc:AlternateContent>
  <xr:revisionPtr revIDLastSave="113" documentId="11_A1BEE109FB28F8718521FC0C9678AB06B2C69440" xr6:coauthVersionLast="47" xr6:coauthVersionMax="47" xr10:uidLastSave="{F4C56430-AF26-49ED-A950-2E557D28A264}"/>
  <bookViews>
    <workbookView xWindow="-120" yWindow="-120" windowWidth="29040" windowHeight="17520" activeTab="1" xr2:uid="{00000000-000D-0000-FFFF-FFFF00000000}"/>
  </bookViews>
  <sheets>
    <sheet name="Sheet1" sheetId="1" r:id="rId1"/>
    <sheet name="集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2" l="1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</calcChain>
</file>

<file path=xl/sharedStrings.xml><?xml version="1.0" encoding="utf-8"?>
<sst xmlns="http://schemas.openxmlformats.org/spreadsheetml/2006/main" count="415" uniqueCount="212">
  <si>
    <t>left</t>
  </si>
  <si>
    <t>right</t>
  </si>
  <si>
    <t>leftthumb</t>
  </si>
  <si>
    <t>rightthumb</t>
  </si>
  <si>
    <t>righttrackball</t>
  </si>
  <si>
    <t>Designator</t>
  </si>
  <si>
    <t>Footprint</t>
  </si>
  <si>
    <t>Quantity</t>
  </si>
  <si>
    <t>Value</t>
  </si>
  <si>
    <t>LCSC Part #</t>
  </si>
  <si>
    <t>C1, C2, C3, C9</t>
  </si>
  <si>
    <t>10u</t>
  </si>
  <si>
    <t>C15525</t>
  </si>
  <si>
    <t>C1, C2</t>
  </si>
  <si>
    <t>100n</t>
  </si>
  <si>
    <t xml:space="preserve">C1525 </t>
  </si>
  <si>
    <t>C1, C2, C3</t>
  </si>
  <si>
    <t>C1, C3</t>
  </si>
  <si>
    <t>10n</t>
  </si>
  <si>
    <t>C15195</t>
  </si>
  <si>
    <t>C4, C5</t>
  </si>
  <si>
    <t>12pF</t>
  </si>
  <si>
    <t>C1547</t>
  </si>
  <si>
    <t>D1, D2</t>
  </si>
  <si>
    <t>WS2812B-2020</t>
  </si>
  <si>
    <t>C55109522</t>
  </si>
  <si>
    <t>D1, D2, D3</t>
  </si>
  <si>
    <t>C2, C5, C6</t>
  </si>
  <si>
    <t>C6, C8</t>
  </si>
  <si>
    <t>C1525</t>
  </si>
  <si>
    <t>H1, H2</t>
  </si>
  <si>
    <t>MountingHole</t>
  </si>
  <si>
    <t>C2928170</t>
  </si>
  <si>
    <t>C4</t>
  </si>
  <si>
    <t>C7</t>
  </si>
  <si>
    <t>4.7u</t>
  </si>
  <si>
    <t>C23733</t>
  </si>
  <si>
    <t>1u</t>
  </si>
  <si>
    <t>C52923</t>
  </si>
  <si>
    <t>CHG1</t>
  </si>
  <si>
    <t>Red</t>
  </si>
  <si>
    <t>C19189741</t>
  </si>
  <si>
    <t>C9</t>
  </si>
  <si>
    <t>4.7uF/10V</t>
  </si>
  <si>
    <t>D1</t>
  </si>
  <si>
    <t>D_SOD-323</t>
  </si>
  <si>
    <t>BSD3C051V</t>
  </si>
  <si>
    <t>C151996</t>
  </si>
  <si>
    <t>R10</t>
  </si>
  <si>
    <t>10k</t>
  </si>
  <si>
    <t>C25744</t>
  </si>
  <si>
    <t>D2</t>
  </si>
  <si>
    <t>1N5819WS</t>
  </si>
  <si>
    <t>C191023</t>
  </si>
  <si>
    <t>U1</t>
  </si>
  <si>
    <t>PMW3610</t>
  </si>
  <si>
    <t>D3</t>
  </si>
  <si>
    <t>LED_Smidr_RGB_1209</t>
  </si>
  <si>
    <t>E6C1209RGBC3UDA</t>
  </si>
  <si>
    <t>C375572</t>
  </si>
  <si>
    <t>U2</t>
  </si>
  <si>
    <t>MCP1700T-1802E/TT</t>
  </si>
  <si>
    <t>C150796</t>
  </si>
  <si>
    <t>F1</t>
  </si>
  <si>
    <t>PTC 1A hold</t>
  </si>
  <si>
    <t>C883131</t>
  </si>
  <si>
    <t>J1</t>
  </si>
  <si>
    <t>USB_C_Receptacle_HRO_TYPE-C-31-M-12</t>
  </si>
  <si>
    <t>HRO_TYPE-C-31-M-12</t>
  </si>
  <si>
    <t>C165948</t>
  </si>
  <si>
    <t>L1</t>
  </si>
  <si>
    <t>10uH</t>
  </si>
  <si>
    <t>C86083</t>
  </si>
  <si>
    <t>L2, L3</t>
  </si>
  <si>
    <t>BLM15PX121SN1D</t>
  </si>
  <si>
    <t>C88970</t>
  </si>
  <si>
    <t>Q1, Q3</t>
  </si>
  <si>
    <t>SOT-23</t>
  </si>
  <si>
    <t>AO3401A</t>
  </si>
  <si>
    <t>C15127</t>
  </si>
  <si>
    <t>Q2</t>
  </si>
  <si>
    <t>2N7002</t>
  </si>
  <si>
    <t>C8545</t>
  </si>
  <si>
    <t>R1, R2</t>
  </si>
  <si>
    <t>C25100</t>
  </si>
  <si>
    <t>R10, R11</t>
  </si>
  <si>
    <t>4.7k</t>
  </si>
  <si>
    <t>C25900</t>
  </si>
  <si>
    <t>R12</t>
  </si>
  <si>
    <t>1k</t>
  </si>
  <si>
    <t>C11702</t>
  </si>
  <si>
    <t>R13, R9</t>
  </si>
  <si>
    <t>R10, R9</t>
  </si>
  <si>
    <t>R3</t>
  </si>
  <si>
    <t>1.5k</t>
  </si>
  <si>
    <t>C25867</t>
  </si>
  <si>
    <t>R4</t>
  </si>
  <si>
    <t>100k</t>
  </si>
  <si>
    <t>C25741</t>
  </si>
  <si>
    <t>R5, R6</t>
  </si>
  <si>
    <t>5.1k</t>
  </si>
  <si>
    <t>C25905</t>
  </si>
  <si>
    <t>R7</t>
  </si>
  <si>
    <t>3.3k</t>
  </si>
  <si>
    <t>C25890</t>
  </si>
  <si>
    <t>R8</t>
  </si>
  <si>
    <t>C25076</t>
  </si>
  <si>
    <t>S1</t>
  </si>
  <si>
    <t>SW_SPDT_Shouhan_MSK12C02</t>
  </si>
  <si>
    <t>MSK12C02-HB</t>
  </si>
  <si>
    <t>C431541</t>
  </si>
  <si>
    <t>T1</t>
  </si>
  <si>
    <t>SW_SMD_2P-TS24CA</t>
  </si>
  <si>
    <t>TS24CA</t>
  </si>
  <si>
    <t>C393942</t>
  </si>
  <si>
    <t>TP1</t>
  </si>
  <si>
    <t>TestPoint_THTPad_D1.0mm_Drill0.5mm</t>
  </si>
  <si>
    <t>SWDIO</t>
  </si>
  <si>
    <t>TP2</t>
  </si>
  <si>
    <t>SWDCLK</t>
  </si>
  <si>
    <t>Raytac_MDBT50Q</t>
  </si>
  <si>
    <t>MDBT50Q-1MV2</t>
  </si>
  <si>
    <t>C5118826</t>
  </si>
  <si>
    <t>SOT-23-6</t>
  </si>
  <si>
    <t>TP4057</t>
  </si>
  <si>
    <t>C12044</t>
  </si>
  <si>
    <t>U3</t>
  </si>
  <si>
    <t>SRV05-4</t>
  </si>
  <si>
    <t>C7420376</t>
  </si>
  <si>
    <t>X1</t>
  </si>
  <si>
    <t>Crystal_SMD_MicroCrystal_CC7V-T1A-2Pin_3.2x1.5mm</t>
  </si>
  <si>
    <t>32.768kHz</t>
  </si>
  <si>
    <t>C32346</t>
  </si>
  <si>
    <t>必要部品集計（5基板分）</t>
  </si>
  <si>
    <t>同一のLCSC部品番号を統合。LCSC番号がない部品はフットプリントと値で区別しています。</t>
  </si>
  <si>
    <t>合計</t>
  </si>
  <si>
    <t>設計番号（基板別）</t>
  </si>
  <si>
    <t>402</t>
  </si>
  <si>
    <t>left: U2 / right: U2</t>
  </si>
  <si>
    <t>righttrackball: U2</t>
  </si>
  <si>
    <t>left: Q1, Q3 / right: Q1, Q3</t>
  </si>
  <si>
    <t>righttrackball: C1, C3</t>
  </si>
  <si>
    <t>left: D1 / right: D1</t>
  </si>
  <si>
    <t>left: C6, C8 / right: C6, C8 / leftthumb: C1, C2 / rightthumb: C1, C2, C3 / righttrackball: C2, C5, C6</t>
  </si>
  <si>
    <t>left: C4, C5 / right: C4, C5</t>
  </si>
  <si>
    <t>left: C1, C2, C3, C9 / right: C1, C2, C3, C9 / righttrackball: C4</t>
  </si>
  <si>
    <t>left: J1 / right: J1</t>
  </si>
  <si>
    <t>left: D2 / right: D2</t>
  </si>
  <si>
    <t>603</t>
  </si>
  <si>
    <t>left: CHG1 / right: CHG1</t>
  </si>
  <si>
    <t>left: C7 / right: C7 / righttrackball: C9</t>
  </si>
  <si>
    <t>100</t>
  </si>
  <si>
    <t>left: R8 / right: R8</t>
  </si>
  <si>
    <t>27</t>
  </si>
  <si>
    <t>left: R1, R2 / right: R1, R2</t>
  </si>
  <si>
    <t>left: R4 / right: R4</t>
  </si>
  <si>
    <t>left: R13, R9 / right: R10, R9 / righttrackball: R10</t>
  </si>
  <si>
    <t>left: R7 / right: R7</t>
  </si>
  <si>
    <t>left: R10, R11</t>
  </si>
  <si>
    <t>left: R5, R6 / right: R5, R6</t>
  </si>
  <si>
    <t>leftthumb: H1, H2 / rightthumb: H1, H2</t>
  </si>
  <si>
    <t>left: X1 / right: X1</t>
  </si>
  <si>
    <t>left: D3</t>
  </si>
  <si>
    <t>left: T1 / right: T1</t>
  </si>
  <si>
    <t>left: S1 / right: S1</t>
  </si>
  <si>
    <t>left: U1 / right: U1</t>
  </si>
  <si>
    <t>righttrackball: C7</t>
  </si>
  <si>
    <t>2020</t>
  </si>
  <si>
    <t>leftthumb: D1, D2 / rightthumb: D1, D2, D3</t>
  </si>
  <si>
    <t>left: U3 / right: U3</t>
  </si>
  <si>
    <t>left: Q2 / right: Q2</t>
  </si>
  <si>
    <t>left: L1 / right: L1</t>
  </si>
  <si>
    <t>1206</t>
  </si>
  <si>
    <t>left: F1 / right: F1</t>
  </si>
  <si>
    <t>left: L2, L3 / right: L2, L3</t>
  </si>
  <si>
    <t>（LCSC番号なし）</t>
  </si>
  <si>
    <t>righttrackball: U1</t>
  </si>
  <si>
    <t>TP4057</t>
    <phoneticPr fontId="8"/>
  </si>
  <si>
    <t>C12044</t>
    <phoneticPr fontId="8"/>
  </si>
  <si>
    <t>C150796</t>
    <phoneticPr fontId="8"/>
  </si>
  <si>
    <t>C15127</t>
    <phoneticPr fontId="8"/>
  </si>
  <si>
    <t>C151996</t>
    <phoneticPr fontId="8"/>
  </si>
  <si>
    <t>C19189741</t>
    <phoneticPr fontId="8"/>
  </si>
  <si>
    <t>C2928170</t>
    <phoneticPr fontId="8"/>
  </si>
  <si>
    <t>列1</t>
    <phoneticPr fontId="8"/>
  </si>
  <si>
    <t>C32346</t>
    <phoneticPr fontId="8"/>
  </si>
  <si>
    <t>C375572</t>
    <phoneticPr fontId="8"/>
  </si>
  <si>
    <t>C393942</t>
    <phoneticPr fontId="8"/>
  </si>
  <si>
    <t>C431541</t>
    <phoneticPr fontId="8"/>
  </si>
  <si>
    <t>WS2812C-2020</t>
    <phoneticPr fontId="8"/>
  </si>
  <si>
    <t>C55109522</t>
    <phoneticPr fontId="8"/>
  </si>
  <si>
    <t>C7420376</t>
    <phoneticPr fontId="8"/>
  </si>
  <si>
    <t>C8545</t>
    <phoneticPr fontId="8"/>
  </si>
  <si>
    <t>C86083</t>
    <phoneticPr fontId="8"/>
  </si>
  <si>
    <t>C883131</t>
    <phoneticPr fontId="8"/>
  </si>
  <si>
    <t>C88970</t>
    <phoneticPr fontId="8"/>
  </si>
  <si>
    <t>C1525</t>
    <phoneticPr fontId="8"/>
  </si>
  <si>
    <t>C489147</t>
    <phoneticPr fontId="8"/>
  </si>
  <si>
    <t>C307331</t>
    <phoneticPr fontId="8"/>
  </si>
  <si>
    <t>Crystal_SMD_MicroCrystal_CC7V-T1A-2Pin_3.2x1.5mm</t>
    <phoneticPr fontId="8"/>
  </si>
  <si>
    <t>C11702</t>
    <phoneticPr fontId="8"/>
  </si>
  <si>
    <t>left: R3, R12 / right: R3</t>
    <phoneticPr fontId="8"/>
  </si>
  <si>
    <t>C25905</t>
    <phoneticPr fontId="8"/>
  </si>
  <si>
    <t>C25900</t>
    <phoneticPr fontId="8"/>
  </si>
  <si>
    <t>C25890</t>
    <phoneticPr fontId="8"/>
  </si>
  <si>
    <t>C25741</t>
    <phoneticPr fontId="8"/>
  </si>
  <si>
    <t>C25076</t>
    <phoneticPr fontId="8"/>
  </si>
  <si>
    <t>C23733</t>
    <phoneticPr fontId="8"/>
  </si>
  <si>
    <t>C15525</t>
    <phoneticPr fontId="8"/>
  </si>
  <si>
    <t>C1547</t>
    <phoneticPr fontId="8"/>
  </si>
  <si>
    <t>C15195</t>
    <phoneticPr fontId="8"/>
  </si>
  <si>
    <t>C165948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</si>
</sst>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</font>
    <font>
      <sz val="9"/>
      <color rgb="FF1F2328"/>
      <name val="Segoe UI"/>
      <family val="2"/>
    </font>
    <font>
      <sz val="9"/>
      <color rgb="FF1F2328"/>
      <name val="Segoe UI"/>
      <family val="2"/>
    </font>
    <font>
      <b/>
      <sz val="16"/>
      <color rgb="FFFFFFFF"/>
      <name val="游ゴシック"/>
      <family val="3"/>
      <charset val="128"/>
    </font>
    <font>
      <i/>
      <sz val="11"/>
      <color rgb="FF595959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5" fillId="5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3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3" fontId="6" fillId="6" borderId="3" xfId="0" applyNumberFormat="1" applyFont="1" applyFill="1" applyBorder="1" applyAlignment="1">
      <alignment horizontal="right" vertical="center"/>
    </xf>
    <xf numFmtId="0" fontId="7" fillId="0" borderId="3" xfId="0" applyFont="1" applyBorder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7" fillId="9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0" fillId="9" borderId="3" xfId="0" applyFill="1" applyBorder="1">
      <alignment vertical="center"/>
    </xf>
    <xf numFmtId="3" fontId="0" fillId="9" borderId="3" xfId="0" applyNumberFormat="1" applyFill="1" applyBorder="1" applyAlignment="1">
      <alignment horizontal="right" vertical="center"/>
    </xf>
    <xf numFmtId="3" fontId="6" fillId="9" borderId="3" xfId="0" applyNumberFormat="1" applyFont="1" applyFill="1" applyBorder="1" applyAlignment="1">
      <alignment horizontal="right" vertical="center"/>
    </xf>
    <xf numFmtId="0" fontId="0" fillId="9" borderId="3" xfId="0" applyFill="1" applyBorder="1" applyAlignment="1">
      <alignment vertical="center" wrapText="1"/>
    </xf>
    <xf numFmtId="0" fontId="7" fillId="9" borderId="3" xfId="0" applyFont="1" applyFill="1" applyBorder="1">
      <alignment vertical="center"/>
    </xf>
    <xf numFmtId="0" fontId="7" fillId="9" borderId="3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gregatedBOM" displayName="AggregatedBOM" ref="A4:K38" totalsRowShown="0">
  <tableColumns count="11">
    <tableColumn id="1" xr3:uid="{00000000-0010-0000-0000-000001000000}" name="LCSC Part #"/>
    <tableColumn id="2" xr3:uid="{00000000-0010-0000-0000-000002000000}" name="Value"/>
    <tableColumn id="3" xr3:uid="{00000000-0010-0000-0000-000003000000}" name="Footprint"/>
    <tableColumn id="4" xr3:uid="{00000000-0010-0000-0000-000004000000}" name="left"/>
    <tableColumn id="5" xr3:uid="{00000000-0010-0000-0000-000005000000}" name="right"/>
    <tableColumn id="6" xr3:uid="{00000000-0010-0000-0000-000006000000}" name="leftthumb"/>
    <tableColumn id="7" xr3:uid="{00000000-0010-0000-0000-000007000000}" name="rightthumb"/>
    <tableColumn id="8" xr3:uid="{00000000-0010-0000-0000-000008000000}" name="righttrackball"/>
    <tableColumn id="9" xr3:uid="{00000000-0010-0000-0000-000009000000}" name="合計"/>
    <tableColumn id="10" xr3:uid="{00000000-0010-0000-0000-00000A000000}" name="設計番号（基板別）"/>
    <tableColumn id="11" xr3:uid="{3F588B6B-6573-457B-987A-597ED773C711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workbookViewId="0">
      <selection activeCell="D10" sqref="D10"/>
    </sheetView>
  </sheetViews>
  <sheetFormatPr defaultRowHeight="18.75" x14ac:dyDescent="0.4"/>
  <cols>
    <col min="1" max="1" width="10.875" customWidth="1"/>
    <col min="2" max="2" width="40.5" customWidth="1"/>
    <col min="3" max="3" width="8.25" customWidth="1"/>
    <col min="4" max="4" width="17.25" customWidth="1"/>
    <col min="5" max="5" width="10.625" customWidth="1"/>
    <col min="6" max="6" width="8.5" customWidth="1"/>
    <col min="7" max="7" width="10.875" customWidth="1"/>
    <col min="8" max="8" width="40.5" customWidth="1"/>
    <col min="9" max="9" width="8.25" customWidth="1"/>
    <col min="10" max="10" width="17.25" customWidth="1"/>
    <col min="11" max="11" width="10.625" customWidth="1"/>
    <col min="13" max="13" width="9.875" customWidth="1"/>
    <col min="14" max="14" width="8.75" customWidth="1"/>
    <col min="15" max="16" width="15" customWidth="1"/>
    <col min="17" max="17" width="10.875" customWidth="1"/>
    <col min="19" max="19" width="11.125" customWidth="1"/>
    <col min="20" max="20" width="8.75" customWidth="1"/>
    <col min="21" max="22" width="15" customWidth="1"/>
    <col min="23" max="23" width="10.875" customWidth="1"/>
    <col min="25" max="25" width="13" customWidth="1"/>
    <col min="28" max="28" width="19.375" customWidth="1"/>
  </cols>
  <sheetData>
    <row r="1" spans="1:29" x14ac:dyDescent="0.4">
      <c r="A1" t="s">
        <v>0</v>
      </c>
      <c r="G1" t="s">
        <v>1</v>
      </c>
      <c r="M1" t="s">
        <v>2</v>
      </c>
      <c r="S1" t="s">
        <v>3</v>
      </c>
      <c r="Y1" t="s">
        <v>4</v>
      </c>
    </row>
    <row r="2" spans="1:29" x14ac:dyDescent="0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1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Y2" s="2" t="s">
        <v>5</v>
      </c>
      <c r="Z2" s="2" t="s">
        <v>6</v>
      </c>
      <c r="AA2" s="2" t="s">
        <v>7</v>
      </c>
      <c r="AB2" s="2" t="s">
        <v>8</v>
      </c>
      <c r="AC2" s="2" t="s">
        <v>9</v>
      </c>
    </row>
    <row r="3" spans="1:29" x14ac:dyDescent="0.4">
      <c r="A3" s="3" t="s">
        <v>10</v>
      </c>
      <c r="B3" s="3">
        <v>402</v>
      </c>
      <c r="C3" s="3">
        <v>4</v>
      </c>
      <c r="D3" s="3" t="s">
        <v>11</v>
      </c>
      <c r="E3" s="3" t="s">
        <v>12</v>
      </c>
      <c r="G3" s="3" t="s">
        <v>10</v>
      </c>
      <c r="H3" s="3">
        <v>402</v>
      </c>
      <c r="I3" s="3">
        <v>4</v>
      </c>
      <c r="J3" s="3" t="s">
        <v>11</v>
      </c>
      <c r="K3" s="3" t="s">
        <v>12</v>
      </c>
      <c r="M3" t="s">
        <v>13</v>
      </c>
      <c r="N3">
        <v>402</v>
      </c>
      <c r="O3">
        <v>2</v>
      </c>
      <c r="P3" t="s">
        <v>14</v>
      </c>
      <c r="Q3" t="s">
        <v>15</v>
      </c>
      <c r="S3" t="s">
        <v>16</v>
      </c>
      <c r="T3">
        <v>402</v>
      </c>
      <c r="U3">
        <v>3</v>
      </c>
      <c r="V3" t="s">
        <v>14</v>
      </c>
      <c r="W3" t="s">
        <v>15</v>
      </c>
      <c r="Y3" t="s">
        <v>17</v>
      </c>
      <c r="Z3">
        <v>402</v>
      </c>
      <c r="AA3">
        <v>2</v>
      </c>
      <c r="AB3" t="s">
        <v>18</v>
      </c>
      <c r="AC3" t="s">
        <v>19</v>
      </c>
    </row>
    <row r="4" spans="1:29" x14ac:dyDescent="0.4">
      <c r="A4" s="3" t="s">
        <v>20</v>
      </c>
      <c r="B4" s="3">
        <v>402</v>
      </c>
      <c r="C4" s="3">
        <v>2</v>
      </c>
      <c r="D4" s="3" t="s">
        <v>21</v>
      </c>
      <c r="E4" s="3" t="s">
        <v>22</v>
      </c>
      <c r="G4" s="3" t="s">
        <v>20</v>
      </c>
      <c r="H4" s="3">
        <v>402</v>
      </c>
      <c r="I4" s="3">
        <v>2</v>
      </c>
      <c r="J4" s="3" t="s">
        <v>21</v>
      </c>
      <c r="K4" s="3" t="s">
        <v>22</v>
      </c>
      <c r="M4" t="s">
        <v>23</v>
      </c>
      <c r="N4">
        <v>2020</v>
      </c>
      <c r="O4">
        <v>2</v>
      </c>
      <c r="P4" t="s">
        <v>24</v>
      </c>
      <c r="Q4" t="s">
        <v>25</v>
      </c>
      <c r="S4" t="s">
        <v>26</v>
      </c>
      <c r="T4">
        <v>2020</v>
      </c>
      <c r="U4">
        <v>3</v>
      </c>
      <c r="V4" t="s">
        <v>24</v>
      </c>
      <c r="W4" t="s">
        <v>25</v>
      </c>
      <c r="Y4" t="s">
        <v>27</v>
      </c>
      <c r="Z4">
        <v>402</v>
      </c>
      <c r="AA4">
        <v>3</v>
      </c>
      <c r="AB4" t="s">
        <v>14</v>
      </c>
      <c r="AC4" t="s">
        <v>15</v>
      </c>
    </row>
    <row r="5" spans="1:29" x14ac:dyDescent="0.4">
      <c r="A5" s="3" t="s">
        <v>28</v>
      </c>
      <c r="B5" s="3">
        <v>402</v>
      </c>
      <c r="C5" s="3">
        <v>2</v>
      </c>
      <c r="D5" s="3" t="s">
        <v>14</v>
      </c>
      <c r="E5" s="3" t="s">
        <v>29</v>
      </c>
      <c r="G5" s="3" t="s">
        <v>28</v>
      </c>
      <c r="H5" s="3">
        <v>402</v>
      </c>
      <c r="I5" s="3">
        <v>2</v>
      </c>
      <c r="J5" s="3" t="s">
        <v>14</v>
      </c>
      <c r="K5" s="3" t="s">
        <v>29</v>
      </c>
      <c r="M5" t="s">
        <v>30</v>
      </c>
      <c r="O5">
        <v>2</v>
      </c>
      <c r="P5" t="s">
        <v>31</v>
      </c>
      <c r="Q5" t="s">
        <v>32</v>
      </c>
      <c r="S5" t="s">
        <v>30</v>
      </c>
      <c r="U5">
        <v>2</v>
      </c>
      <c r="V5" t="s">
        <v>31</v>
      </c>
      <c r="W5" t="s">
        <v>32</v>
      </c>
      <c r="Y5" t="s">
        <v>33</v>
      </c>
      <c r="Z5">
        <v>402</v>
      </c>
      <c r="AA5">
        <v>1</v>
      </c>
      <c r="AB5" t="s">
        <v>11</v>
      </c>
      <c r="AC5" t="s">
        <v>12</v>
      </c>
    </row>
    <row r="6" spans="1:29" x14ac:dyDescent="0.4">
      <c r="A6" s="3" t="s">
        <v>34</v>
      </c>
      <c r="B6" s="3">
        <v>402</v>
      </c>
      <c r="C6" s="3">
        <v>1</v>
      </c>
      <c r="D6" s="3" t="s">
        <v>35</v>
      </c>
      <c r="E6" s="3" t="s">
        <v>36</v>
      </c>
      <c r="G6" s="3" t="s">
        <v>34</v>
      </c>
      <c r="H6" s="3">
        <v>402</v>
      </c>
      <c r="I6" s="3">
        <v>1</v>
      </c>
      <c r="J6" s="3" t="s">
        <v>35</v>
      </c>
      <c r="K6" s="3" t="s">
        <v>36</v>
      </c>
      <c r="Y6" t="s">
        <v>34</v>
      </c>
      <c r="Z6">
        <v>402</v>
      </c>
      <c r="AA6">
        <v>1</v>
      </c>
      <c r="AB6" t="s">
        <v>37</v>
      </c>
      <c r="AC6" t="s">
        <v>38</v>
      </c>
    </row>
    <row r="7" spans="1:29" x14ac:dyDescent="0.4">
      <c r="A7" s="3" t="s">
        <v>39</v>
      </c>
      <c r="B7" s="3">
        <v>603</v>
      </c>
      <c r="C7" s="3">
        <v>1</v>
      </c>
      <c r="D7" s="3" t="s">
        <v>40</v>
      </c>
      <c r="E7" s="3" t="s">
        <v>41</v>
      </c>
      <c r="G7" s="3" t="s">
        <v>39</v>
      </c>
      <c r="H7" s="3">
        <v>603</v>
      </c>
      <c r="I7" s="3">
        <v>1</v>
      </c>
      <c r="J7" s="3" t="s">
        <v>40</v>
      </c>
      <c r="K7" s="3" t="s">
        <v>41</v>
      </c>
      <c r="Y7" t="s">
        <v>42</v>
      </c>
      <c r="Z7">
        <v>402</v>
      </c>
      <c r="AA7">
        <v>1</v>
      </c>
      <c r="AB7" t="s">
        <v>43</v>
      </c>
      <c r="AC7" t="s">
        <v>36</v>
      </c>
    </row>
    <row r="8" spans="1:29" x14ac:dyDescent="0.4">
      <c r="A8" s="3" t="s">
        <v>44</v>
      </c>
      <c r="B8" s="3" t="s">
        <v>45</v>
      </c>
      <c r="C8" s="3">
        <v>1</v>
      </c>
      <c r="D8" s="3" t="s">
        <v>46</v>
      </c>
      <c r="E8" s="3" t="s">
        <v>47</v>
      </c>
      <c r="G8" s="3" t="s">
        <v>44</v>
      </c>
      <c r="H8" s="3" t="s">
        <v>45</v>
      </c>
      <c r="I8" s="3">
        <v>1</v>
      </c>
      <c r="J8" s="3" t="s">
        <v>46</v>
      </c>
      <c r="K8" s="3" t="s">
        <v>47</v>
      </c>
      <c r="Y8" t="s">
        <v>48</v>
      </c>
      <c r="Z8">
        <v>402</v>
      </c>
      <c r="AA8">
        <v>1</v>
      </c>
      <c r="AB8" t="s">
        <v>49</v>
      </c>
      <c r="AC8" t="s">
        <v>50</v>
      </c>
    </row>
    <row r="9" spans="1:29" x14ac:dyDescent="0.4">
      <c r="A9" s="3" t="s">
        <v>51</v>
      </c>
      <c r="B9" s="3" t="s">
        <v>45</v>
      </c>
      <c r="C9" s="3">
        <v>1</v>
      </c>
      <c r="D9" s="3" t="s">
        <v>52</v>
      </c>
      <c r="E9" s="3" t="s">
        <v>53</v>
      </c>
      <c r="G9" s="3" t="s">
        <v>51</v>
      </c>
      <c r="H9" s="3" t="s">
        <v>45</v>
      </c>
      <c r="I9" s="3">
        <v>1</v>
      </c>
      <c r="J9" s="3" t="s">
        <v>52</v>
      </c>
      <c r="K9" s="3" t="s">
        <v>53</v>
      </c>
      <c r="Y9" t="s">
        <v>54</v>
      </c>
      <c r="AA9">
        <v>1</v>
      </c>
      <c r="AB9" t="s">
        <v>55</v>
      </c>
    </row>
    <row r="10" spans="1:29" x14ac:dyDescent="0.4">
      <c r="A10" s="3" t="s">
        <v>56</v>
      </c>
      <c r="B10" s="3" t="s">
        <v>57</v>
      </c>
      <c r="C10" s="3">
        <v>1</v>
      </c>
      <c r="D10" s="3" t="s">
        <v>58</v>
      </c>
      <c r="E10" s="3" t="s">
        <v>59</v>
      </c>
      <c r="Y10" t="s">
        <v>60</v>
      </c>
      <c r="AA10">
        <v>1</v>
      </c>
      <c r="AB10" t="s">
        <v>61</v>
      </c>
      <c r="AC10" t="s">
        <v>62</v>
      </c>
    </row>
    <row r="11" spans="1:29" x14ac:dyDescent="0.4">
      <c r="A11" s="3" t="s">
        <v>63</v>
      </c>
      <c r="B11" s="3">
        <v>1206</v>
      </c>
      <c r="C11" s="3">
        <v>1</v>
      </c>
      <c r="D11" s="3" t="s">
        <v>64</v>
      </c>
      <c r="E11" s="3" t="s">
        <v>65</v>
      </c>
      <c r="G11" s="3" t="s">
        <v>63</v>
      </c>
      <c r="H11" s="3">
        <v>1206</v>
      </c>
      <c r="I11" s="3">
        <v>1</v>
      </c>
      <c r="J11" s="3" t="s">
        <v>64</v>
      </c>
      <c r="K11" s="3" t="s">
        <v>65</v>
      </c>
    </row>
    <row r="12" spans="1:29" x14ac:dyDescent="0.4">
      <c r="A12" s="3" t="s">
        <v>66</v>
      </c>
      <c r="B12" s="3" t="s">
        <v>67</v>
      </c>
      <c r="C12" s="3">
        <v>1</v>
      </c>
      <c r="D12" s="3" t="s">
        <v>68</v>
      </c>
      <c r="E12" s="3" t="s">
        <v>69</v>
      </c>
      <c r="G12" s="3" t="s">
        <v>66</v>
      </c>
      <c r="H12" s="3" t="s">
        <v>67</v>
      </c>
      <c r="I12" s="3">
        <v>1</v>
      </c>
      <c r="J12" s="3" t="s">
        <v>68</v>
      </c>
      <c r="K12" s="3" t="s">
        <v>69</v>
      </c>
    </row>
    <row r="13" spans="1:29" x14ac:dyDescent="0.4">
      <c r="A13" s="3" t="s">
        <v>70</v>
      </c>
      <c r="B13" s="3">
        <v>603</v>
      </c>
      <c r="C13" s="3">
        <v>1</v>
      </c>
      <c r="D13" s="3" t="s">
        <v>71</v>
      </c>
      <c r="E13" s="3" t="s">
        <v>72</v>
      </c>
      <c r="G13" s="3" t="s">
        <v>70</v>
      </c>
      <c r="H13" s="3">
        <v>603</v>
      </c>
      <c r="I13" s="3">
        <v>1</v>
      </c>
      <c r="J13" s="3" t="s">
        <v>71</v>
      </c>
      <c r="K13" s="3" t="s">
        <v>72</v>
      </c>
    </row>
    <row r="14" spans="1:29" x14ac:dyDescent="0.4">
      <c r="A14" s="3" t="s">
        <v>73</v>
      </c>
      <c r="B14" s="3">
        <v>402</v>
      </c>
      <c r="C14" s="3">
        <v>2</v>
      </c>
      <c r="D14" s="3" t="s">
        <v>74</v>
      </c>
      <c r="E14" s="3" t="s">
        <v>75</v>
      </c>
      <c r="G14" s="3" t="s">
        <v>73</v>
      </c>
      <c r="H14" s="3">
        <v>402</v>
      </c>
      <c r="I14" s="3">
        <v>2</v>
      </c>
      <c r="J14" s="3" t="s">
        <v>74</v>
      </c>
      <c r="K14" s="3" t="s">
        <v>75</v>
      </c>
    </row>
    <row r="15" spans="1:29" x14ac:dyDescent="0.4">
      <c r="A15" s="3" t="s">
        <v>76</v>
      </c>
      <c r="B15" s="3" t="s">
        <v>77</v>
      </c>
      <c r="C15" s="3">
        <v>2</v>
      </c>
      <c r="D15" s="3" t="s">
        <v>78</v>
      </c>
      <c r="E15" s="3" t="s">
        <v>79</v>
      </c>
      <c r="G15" s="3" t="s">
        <v>76</v>
      </c>
      <c r="H15" s="3" t="s">
        <v>77</v>
      </c>
      <c r="I15" s="3">
        <v>2</v>
      </c>
      <c r="J15" s="3" t="s">
        <v>78</v>
      </c>
      <c r="K15" s="3" t="s">
        <v>79</v>
      </c>
    </row>
    <row r="16" spans="1:29" x14ac:dyDescent="0.4">
      <c r="A16" s="3" t="s">
        <v>80</v>
      </c>
      <c r="B16" s="3" t="s">
        <v>77</v>
      </c>
      <c r="C16" s="3">
        <v>1</v>
      </c>
      <c r="D16" s="3" t="s">
        <v>81</v>
      </c>
      <c r="E16" s="3" t="s">
        <v>82</v>
      </c>
      <c r="G16" s="3" t="s">
        <v>80</v>
      </c>
      <c r="H16" s="3" t="s">
        <v>77</v>
      </c>
      <c r="I16" s="3">
        <v>1</v>
      </c>
      <c r="J16" s="3" t="s">
        <v>81</v>
      </c>
      <c r="K16" s="3" t="s">
        <v>82</v>
      </c>
    </row>
    <row r="17" spans="1:11" x14ac:dyDescent="0.4">
      <c r="A17" s="3" t="s">
        <v>83</v>
      </c>
      <c r="B17" s="3">
        <v>402</v>
      </c>
      <c r="C17" s="3">
        <v>2</v>
      </c>
      <c r="D17" s="3">
        <v>27</v>
      </c>
      <c r="E17" s="3" t="s">
        <v>84</v>
      </c>
      <c r="G17" s="3" t="s">
        <v>83</v>
      </c>
      <c r="H17" s="3">
        <v>402</v>
      </c>
      <c r="I17" s="3">
        <v>2</v>
      </c>
      <c r="J17" s="3">
        <v>27</v>
      </c>
      <c r="K17" s="3" t="s">
        <v>84</v>
      </c>
    </row>
    <row r="18" spans="1:11" x14ac:dyDescent="0.4">
      <c r="A18" s="3" t="s">
        <v>85</v>
      </c>
      <c r="B18" s="3">
        <v>402</v>
      </c>
      <c r="C18" s="3">
        <v>2</v>
      </c>
      <c r="D18" s="3" t="s">
        <v>86</v>
      </c>
      <c r="E18" s="3" t="s">
        <v>87</v>
      </c>
    </row>
    <row r="19" spans="1:11" x14ac:dyDescent="0.4">
      <c r="A19" s="3" t="s">
        <v>88</v>
      </c>
      <c r="B19" s="3">
        <v>402</v>
      </c>
      <c r="C19" s="3">
        <v>1</v>
      </c>
      <c r="D19" s="3" t="s">
        <v>89</v>
      </c>
      <c r="E19" s="3" t="s">
        <v>90</v>
      </c>
    </row>
    <row r="20" spans="1:11" x14ac:dyDescent="0.4">
      <c r="A20" s="3" t="s">
        <v>91</v>
      </c>
      <c r="B20" s="3">
        <v>402</v>
      </c>
      <c r="C20" s="3">
        <v>2</v>
      </c>
      <c r="D20" s="3" t="s">
        <v>49</v>
      </c>
      <c r="E20" s="3" t="s">
        <v>50</v>
      </c>
      <c r="G20" s="3" t="s">
        <v>92</v>
      </c>
      <c r="H20" s="3">
        <v>402</v>
      </c>
      <c r="I20" s="3">
        <v>2</v>
      </c>
      <c r="J20" s="3" t="s">
        <v>49</v>
      </c>
      <c r="K20" s="3" t="s">
        <v>50</v>
      </c>
    </row>
    <row r="21" spans="1:11" x14ac:dyDescent="0.4">
      <c r="A21" s="3" t="s">
        <v>93</v>
      </c>
      <c r="B21" s="3">
        <v>402</v>
      </c>
      <c r="C21" s="3">
        <v>1</v>
      </c>
      <c r="D21" s="3" t="s">
        <v>94</v>
      </c>
      <c r="E21" s="3" t="s">
        <v>95</v>
      </c>
      <c r="G21" s="3" t="s">
        <v>93</v>
      </c>
      <c r="H21" s="3">
        <v>402</v>
      </c>
      <c r="I21" s="3">
        <v>1</v>
      </c>
      <c r="J21" s="3" t="s">
        <v>94</v>
      </c>
      <c r="K21" s="3" t="s">
        <v>95</v>
      </c>
    </row>
    <row r="22" spans="1:11" x14ac:dyDescent="0.4">
      <c r="A22" s="3" t="s">
        <v>96</v>
      </c>
      <c r="B22" s="3">
        <v>402</v>
      </c>
      <c r="C22" s="3">
        <v>1</v>
      </c>
      <c r="D22" s="3" t="s">
        <v>97</v>
      </c>
      <c r="E22" s="3" t="s">
        <v>98</v>
      </c>
      <c r="G22" s="3" t="s">
        <v>96</v>
      </c>
      <c r="H22" s="3">
        <v>402</v>
      </c>
      <c r="I22" s="3">
        <v>1</v>
      </c>
      <c r="J22" s="3" t="s">
        <v>97</v>
      </c>
      <c r="K22" s="3" t="s">
        <v>98</v>
      </c>
    </row>
    <row r="23" spans="1:11" x14ac:dyDescent="0.4">
      <c r="A23" s="3" t="s">
        <v>99</v>
      </c>
      <c r="B23" s="3">
        <v>402</v>
      </c>
      <c r="C23" s="3">
        <v>2</v>
      </c>
      <c r="D23" s="3" t="s">
        <v>100</v>
      </c>
      <c r="E23" s="3" t="s">
        <v>101</v>
      </c>
      <c r="G23" s="3" t="s">
        <v>99</v>
      </c>
      <c r="H23" s="3">
        <v>402</v>
      </c>
      <c r="I23" s="3">
        <v>2</v>
      </c>
      <c r="J23" s="3" t="s">
        <v>100</v>
      </c>
      <c r="K23" s="3" t="s">
        <v>101</v>
      </c>
    </row>
    <row r="24" spans="1:11" x14ac:dyDescent="0.4">
      <c r="A24" s="3" t="s">
        <v>102</v>
      </c>
      <c r="B24" s="3">
        <v>402</v>
      </c>
      <c r="C24" s="3">
        <v>1</v>
      </c>
      <c r="D24" s="3" t="s">
        <v>103</v>
      </c>
      <c r="E24" s="3" t="s">
        <v>104</v>
      </c>
      <c r="G24" s="3" t="s">
        <v>102</v>
      </c>
      <c r="H24" s="3">
        <v>402</v>
      </c>
      <c r="I24" s="3">
        <v>1</v>
      </c>
      <c r="J24" s="3" t="s">
        <v>103</v>
      </c>
      <c r="K24" s="3" t="s">
        <v>104</v>
      </c>
    </row>
    <row r="25" spans="1:11" x14ac:dyDescent="0.4">
      <c r="A25" s="3" t="s">
        <v>105</v>
      </c>
      <c r="B25" s="3">
        <v>402</v>
      </c>
      <c r="C25" s="3">
        <v>1</v>
      </c>
      <c r="D25" s="3">
        <v>100</v>
      </c>
      <c r="E25" s="3" t="s">
        <v>106</v>
      </c>
      <c r="G25" s="3" t="s">
        <v>105</v>
      </c>
      <c r="H25" s="3">
        <v>402</v>
      </c>
      <c r="I25" s="3">
        <v>1</v>
      </c>
      <c r="J25" s="3">
        <v>100</v>
      </c>
      <c r="K25" s="3" t="s">
        <v>106</v>
      </c>
    </row>
    <row r="26" spans="1:11" x14ac:dyDescent="0.4">
      <c r="A26" s="3" t="s">
        <v>107</v>
      </c>
      <c r="B26" s="3" t="s">
        <v>108</v>
      </c>
      <c r="C26" s="3">
        <v>1</v>
      </c>
      <c r="D26" s="3" t="s">
        <v>109</v>
      </c>
      <c r="E26" s="3" t="s">
        <v>110</v>
      </c>
      <c r="G26" s="3" t="s">
        <v>107</v>
      </c>
      <c r="H26" s="3" t="s">
        <v>108</v>
      </c>
      <c r="I26" s="3">
        <v>1</v>
      </c>
      <c r="J26" s="3" t="s">
        <v>109</v>
      </c>
      <c r="K26" s="3" t="s">
        <v>110</v>
      </c>
    </row>
    <row r="27" spans="1:11" x14ac:dyDescent="0.4">
      <c r="A27" s="3" t="s">
        <v>111</v>
      </c>
      <c r="B27" s="3" t="s">
        <v>112</v>
      </c>
      <c r="C27" s="3">
        <v>1</v>
      </c>
      <c r="D27" s="3" t="s">
        <v>113</v>
      </c>
      <c r="E27" s="3" t="s">
        <v>114</v>
      </c>
      <c r="G27" s="3" t="s">
        <v>111</v>
      </c>
      <c r="H27" s="3" t="s">
        <v>112</v>
      </c>
      <c r="I27" s="3">
        <v>1</v>
      </c>
      <c r="J27" s="3" t="s">
        <v>113</v>
      </c>
      <c r="K27" s="3" t="s">
        <v>114</v>
      </c>
    </row>
    <row r="28" spans="1:11" x14ac:dyDescent="0.4">
      <c r="A28" s="3" t="s">
        <v>115</v>
      </c>
      <c r="B28" s="3" t="s">
        <v>116</v>
      </c>
      <c r="C28" s="3">
        <v>1</v>
      </c>
      <c r="D28" s="3" t="s">
        <v>117</v>
      </c>
      <c r="E28" s="3"/>
      <c r="G28" s="3" t="s">
        <v>115</v>
      </c>
      <c r="H28" s="3" t="s">
        <v>116</v>
      </c>
      <c r="I28" s="3">
        <v>1</v>
      </c>
      <c r="J28" s="3" t="s">
        <v>117</v>
      </c>
      <c r="K28" s="3"/>
    </row>
    <row r="29" spans="1:11" x14ac:dyDescent="0.4">
      <c r="A29" s="3" t="s">
        <v>118</v>
      </c>
      <c r="B29" s="3" t="s">
        <v>116</v>
      </c>
      <c r="C29" s="3">
        <v>1</v>
      </c>
      <c r="D29" s="3" t="s">
        <v>119</v>
      </c>
      <c r="E29" s="3"/>
      <c r="G29" s="3" t="s">
        <v>118</v>
      </c>
      <c r="H29" s="3" t="s">
        <v>116</v>
      </c>
      <c r="I29" s="3">
        <v>1</v>
      </c>
      <c r="J29" s="3" t="s">
        <v>119</v>
      </c>
      <c r="K29" s="3"/>
    </row>
    <row r="30" spans="1:11" x14ac:dyDescent="0.4">
      <c r="A30" s="3" t="s">
        <v>54</v>
      </c>
      <c r="B30" s="3" t="s">
        <v>120</v>
      </c>
      <c r="C30" s="3">
        <v>1</v>
      </c>
      <c r="D30" s="3" t="s">
        <v>121</v>
      </c>
      <c r="E30" s="3" t="s">
        <v>122</v>
      </c>
      <c r="G30" s="3" t="s">
        <v>54</v>
      </c>
      <c r="H30" s="3" t="s">
        <v>120</v>
      </c>
      <c r="I30" s="3">
        <v>1</v>
      </c>
      <c r="J30" s="3" t="s">
        <v>121</v>
      </c>
      <c r="K30" s="3" t="s">
        <v>122</v>
      </c>
    </row>
    <row r="31" spans="1:11" x14ac:dyDescent="0.4">
      <c r="A31" s="3" t="s">
        <v>60</v>
      </c>
      <c r="B31" s="3" t="s">
        <v>123</v>
      </c>
      <c r="C31" s="3">
        <v>1</v>
      </c>
      <c r="D31" s="3" t="s">
        <v>124</v>
      </c>
      <c r="E31" s="3" t="s">
        <v>125</v>
      </c>
      <c r="G31" s="3" t="s">
        <v>60</v>
      </c>
      <c r="H31" s="3" t="s">
        <v>123</v>
      </c>
      <c r="I31" s="3">
        <v>1</v>
      </c>
      <c r="J31" s="3" t="s">
        <v>124</v>
      </c>
      <c r="K31" s="3" t="s">
        <v>125</v>
      </c>
    </row>
    <row r="32" spans="1:11" x14ac:dyDescent="0.4">
      <c r="A32" s="3" t="s">
        <v>126</v>
      </c>
      <c r="B32" s="3" t="s">
        <v>123</v>
      </c>
      <c r="C32" s="3">
        <v>1</v>
      </c>
      <c r="D32" s="3" t="s">
        <v>127</v>
      </c>
      <c r="E32" s="3" t="s">
        <v>128</v>
      </c>
      <c r="G32" s="3" t="s">
        <v>126</v>
      </c>
      <c r="H32" s="3" t="s">
        <v>123</v>
      </c>
      <c r="I32" s="3">
        <v>1</v>
      </c>
      <c r="J32" s="3" t="s">
        <v>127</v>
      </c>
      <c r="K32" s="3" t="s">
        <v>128</v>
      </c>
    </row>
    <row r="33" spans="1:11" x14ac:dyDescent="0.4">
      <c r="A33" s="3" t="s">
        <v>129</v>
      </c>
      <c r="B33" s="3" t="s">
        <v>130</v>
      </c>
      <c r="C33" s="3">
        <v>1</v>
      </c>
      <c r="D33" s="3" t="s">
        <v>131</v>
      </c>
      <c r="E33" s="3" t="s">
        <v>132</v>
      </c>
      <c r="G33" s="3" t="s">
        <v>129</v>
      </c>
      <c r="H33" s="3" t="s">
        <v>130</v>
      </c>
      <c r="I33" s="3">
        <v>1</v>
      </c>
      <c r="J33" s="3" t="s">
        <v>131</v>
      </c>
      <c r="K33" s="3" t="s">
        <v>132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showGridLines="0" tabSelected="1" workbookViewId="0">
      <selection activeCell="F20" sqref="F20"/>
    </sheetView>
  </sheetViews>
  <sheetFormatPr defaultRowHeight="18.75" x14ac:dyDescent="0.4"/>
  <cols>
    <col min="1" max="1" width="18" customWidth="1"/>
    <col min="2" max="2" width="24" customWidth="1"/>
    <col min="3" max="3" width="34" customWidth="1"/>
    <col min="4" max="9" width="14" customWidth="1"/>
    <col min="10" max="10" width="55" customWidth="1"/>
  </cols>
  <sheetData>
    <row r="1" spans="1:11" ht="27.95" customHeight="1" x14ac:dyDescent="0.4">
      <c r="A1" s="14" t="s">
        <v>133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21.95" customHeight="1" x14ac:dyDescent="0.4">
      <c r="A2" s="15" t="s">
        <v>134</v>
      </c>
      <c r="B2" s="15"/>
      <c r="C2" s="15"/>
      <c r="D2" s="15"/>
      <c r="E2" s="15"/>
      <c r="F2" s="15"/>
      <c r="G2" s="15"/>
      <c r="H2" s="15"/>
      <c r="I2" s="15"/>
      <c r="J2" s="15"/>
    </row>
    <row r="4" spans="1:11" ht="30" customHeight="1" x14ac:dyDescent="0.4">
      <c r="A4" s="4" t="s">
        <v>9</v>
      </c>
      <c r="B4" s="4" t="s">
        <v>8</v>
      </c>
      <c r="C4" s="4" t="s">
        <v>6</v>
      </c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135</v>
      </c>
      <c r="J4" s="4" t="s">
        <v>136</v>
      </c>
      <c r="K4" t="s">
        <v>184</v>
      </c>
    </row>
    <row r="5" spans="1:11" s="12" customFormat="1" x14ac:dyDescent="0.4">
      <c r="A5" s="20" t="s">
        <v>200</v>
      </c>
      <c r="B5" s="16" t="s">
        <v>89</v>
      </c>
      <c r="C5" s="16" t="s">
        <v>137</v>
      </c>
      <c r="D5" s="17">
        <v>2</v>
      </c>
      <c r="E5" s="17">
        <v>1</v>
      </c>
      <c r="F5" s="17">
        <v>0</v>
      </c>
      <c r="G5" s="17">
        <v>0</v>
      </c>
      <c r="H5" s="17">
        <v>0</v>
      </c>
      <c r="I5" s="18">
        <v>3</v>
      </c>
      <c r="J5" s="21" t="s">
        <v>201</v>
      </c>
    </row>
    <row r="6" spans="1:11" x14ac:dyDescent="0.4">
      <c r="A6" s="9" t="s">
        <v>178</v>
      </c>
      <c r="B6" s="9" t="s">
        <v>177</v>
      </c>
      <c r="C6" s="5" t="s">
        <v>123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8">
        <f t="shared" ref="I6:I38" si="0">SUM(D6:H6)</f>
        <v>2</v>
      </c>
      <c r="J6" s="7" t="s">
        <v>138</v>
      </c>
      <c r="K6" s="10">
        <v>5</v>
      </c>
    </row>
    <row r="7" spans="1:11" x14ac:dyDescent="0.4">
      <c r="A7" s="9" t="s">
        <v>179</v>
      </c>
      <c r="B7" s="5" t="s">
        <v>61</v>
      </c>
      <c r="C7" s="5"/>
      <c r="D7" s="6">
        <v>0</v>
      </c>
      <c r="E7" s="6">
        <v>0</v>
      </c>
      <c r="F7" s="6">
        <v>0</v>
      </c>
      <c r="G7" s="6">
        <v>0</v>
      </c>
      <c r="H7" s="6">
        <v>1</v>
      </c>
      <c r="I7" s="8">
        <f t="shared" si="0"/>
        <v>1</v>
      </c>
      <c r="J7" s="7" t="s">
        <v>139</v>
      </c>
      <c r="K7" s="10">
        <v>1</v>
      </c>
    </row>
    <row r="8" spans="1:11" x14ac:dyDescent="0.4">
      <c r="A8" s="9" t="s">
        <v>180</v>
      </c>
      <c r="B8" s="5" t="s">
        <v>78</v>
      </c>
      <c r="C8" s="5" t="s">
        <v>77</v>
      </c>
      <c r="D8" s="6">
        <v>2</v>
      </c>
      <c r="E8" s="6">
        <v>2</v>
      </c>
      <c r="F8" s="6">
        <v>0</v>
      </c>
      <c r="G8" s="6">
        <v>0</v>
      </c>
      <c r="H8" s="6">
        <v>0</v>
      </c>
      <c r="I8" s="8">
        <f t="shared" si="0"/>
        <v>4</v>
      </c>
      <c r="J8" s="7" t="s">
        <v>140</v>
      </c>
      <c r="K8" s="10">
        <v>5</v>
      </c>
    </row>
    <row r="9" spans="1:11" x14ac:dyDescent="0.4">
      <c r="A9" s="9" t="s">
        <v>210</v>
      </c>
      <c r="B9" s="5" t="s">
        <v>18</v>
      </c>
      <c r="C9" s="5" t="s">
        <v>137</v>
      </c>
      <c r="D9" s="6">
        <v>0</v>
      </c>
      <c r="E9" s="6">
        <v>0</v>
      </c>
      <c r="F9" s="6">
        <v>0</v>
      </c>
      <c r="G9" s="6">
        <v>0</v>
      </c>
      <c r="H9" s="6">
        <v>2</v>
      </c>
      <c r="I9" s="8">
        <f t="shared" si="0"/>
        <v>2</v>
      </c>
      <c r="J9" s="7" t="s">
        <v>141</v>
      </c>
      <c r="K9" s="10">
        <v>100</v>
      </c>
    </row>
    <row r="10" spans="1:11" x14ac:dyDescent="0.4">
      <c r="A10" s="9" t="s">
        <v>181</v>
      </c>
      <c r="B10" s="5" t="s">
        <v>46</v>
      </c>
      <c r="C10" s="5" t="s">
        <v>45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8">
        <f t="shared" si="0"/>
        <v>2</v>
      </c>
      <c r="J10" s="7" t="s">
        <v>142</v>
      </c>
      <c r="K10" s="10">
        <v>10</v>
      </c>
    </row>
    <row r="11" spans="1:11" s="12" customFormat="1" ht="37.5" x14ac:dyDescent="0.4">
      <c r="A11" s="20" t="s">
        <v>196</v>
      </c>
      <c r="B11" s="16" t="s">
        <v>14</v>
      </c>
      <c r="C11" s="16" t="s">
        <v>137</v>
      </c>
      <c r="D11" s="17">
        <v>2</v>
      </c>
      <c r="E11" s="17">
        <v>2</v>
      </c>
      <c r="F11" s="17">
        <v>2</v>
      </c>
      <c r="G11" s="17">
        <v>3</v>
      </c>
      <c r="H11" s="17">
        <v>3</v>
      </c>
      <c r="I11" s="18">
        <f t="shared" si="0"/>
        <v>12</v>
      </c>
      <c r="J11" s="19" t="s">
        <v>143</v>
      </c>
      <c r="K11" s="13" t="s">
        <v>198</v>
      </c>
    </row>
    <row r="12" spans="1:11" x14ac:dyDescent="0.4">
      <c r="A12" s="9" t="s">
        <v>209</v>
      </c>
      <c r="B12" s="5" t="s">
        <v>21</v>
      </c>
      <c r="C12" s="5" t="s">
        <v>137</v>
      </c>
      <c r="D12" s="6">
        <v>2</v>
      </c>
      <c r="E12" s="6">
        <v>2</v>
      </c>
      <c r="F12" s="6">
        <v>0</v>
      </c>
      <c r="G12" s="6">
        <v>0</v>
      </c>
      <c r="H12" s="6">
        <v>0</v>
      </c>
      <c r="I12" s="8">
        <f t="shared" si="0"/>
        <v>4</v>
      </c>
      <c r="J12" s="7" t="s">
        <v>144</v>
      </c>
      <c r="K12" s="10">
        <v>100</v>
      </c>
    </row>
    <row r="13" spans="1:11" x14ac:dyDescent="0.4">
      <c r="A13" s="9" t="s">
        <v>208</v>
      </c>
      <c r="B13" s="5" t="s">
        <v>11</v>
      </c>
      <c r="C13" s="5" t="s">
        <v>137</v>
      </c>
      <c r="D13" s="6">
        <v>4</v>
      </c>
      <c r="E13" s="6">
        <v>4</v>
      </c>
      <c r="F13" s="6">
        <v>0</v>
      </c>
      <c r="G13" s="6">
        <v>0</v>
      </c>
      <c r="H13" s="6">
        <v>1</v>
      </c>
      <c r="I13" s="8">
        <f t="shared" si="0"/>
        <v>9</v>
      </c>
      <c r="J13" s="7" t="s">
        <v>145</v>
      </c>
      <c r="K13" s="10">
        <v>100</v>
      </c>
    </row>
    <row r="14" spans="1:11" x14ac:dyDescent="0.4">
      <c r="A14" s="9" t="s">
        <v>211</v>
      </c>
      <c r="B14" s="5" t="s">
        <v>68</v>
      </c>
      <c r="C14" s="5" t="s">
        <v>67</v>
      </c>
      <c r="D14" s="6">
        <v>1</v>
      </c>
      <c r="E14" s="6">
        <v>1</v>
      </c>
      <c r="F14" s="6">
        <v>0</v>
      </c>
      <c r="G14" s="6">
        <v>0</v>
      </c>
      <c r="H14" s="6">
        <v>0</v>
      </c>
      <c r="I14" s="8">
        <f t="shared" si="0"/>
        <v>2</v>
      </c>
      <c r="J14" s="7" t="s">
        <v>146</v>
      </c>
      <c r="K14" s="10">
        <v>5</v>
      </c>
    </row>
    <row r="15" spans="1:11" s="12" customFormat="1" x14ac:dyDescent="0.4">
      <c r="A15" s="16" t="s">
        <v>53</v>
      </c>
      <c r="B15" s="16" t="s">
        <v>52</v>
      </c>
      <c r="C15" s="16" t="s">
        <v>45</v>
      </c>
      <c r="D15" s="17">
        <v>1</v>
      </c>
      <c r="E15" s="17">
        <v>1</v>
      </c>
      <c r="F15" s="17">
        <v>0</v>
      </c>
      <c r="G15" s="17">
        <v>0</v>
      </c>
      <c r="H15" s="17">
        <v>0</v>
      </c>
      <c r="I15" s="18">
        <f t="shared" si="0"/>
        <v>2</v>
      </c>
      <c r="J15" s="19" t="s">
        <v>147</v>
      </c>
      <c r="K15" s="13" t="s">
        <v>197</v>
      </c>
    </row>
    <row r="16" spans="1:11" x14ac:dyDescent="0.4">
      <c r="A16" s="9" t="s">
        <v>182</v>
      </c>
      <c r="B16" s="5" t="s">
        <v>40</v>
      </c>
      <c r="C16" s="5" t="s">
        <v>148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8">
        <f t="shared" si="0"/>
        <v>2</v>
      </c>
      <c r="J16" s="7" t="s">
        <v>149</v>
      </c>
      <c r="K16" s="10">
        <v>100</v>
      </c>
    </row>
    <row r="17" spans="1:11" x14ac:dyDescent="0.4">
      <c r="A17" s="9" t="s">
        <v>207</v>
      </c>
      <c r="B17" s="5" t="s">
        <v>35</v>
      </c>
      <c r="C17" s="5" t="s">
        <v>137</v>
      </c>
      <c r="D17" s="6">
        <v>1</v>
      </c>
      <c r="E17" s="6">
        <v>1</v>
      </c>
      <c r="F17" s="6">
        <v>0</v>
      </c>
      <c r="G17" s="6">
        <v>0</v>
      </c>
      <c r="H17" s="6">
        <v>1</v>
      </c>
      <c r="I17" s="8">
        <f t="shared" si="0"/>
        <v>3</v>
      </c>
      <c r="J17" s="7" t="s">
        <v>150</v>
      </c>
      <c r="K17" s="10">
        <v>50</v>
      </c>
    </row>
    <row r="18" spans="1:11" x14ac:dyDescent="0.4">
      <c r="A18" s="9" t="s">
        <v>206</v>
      </c>
      <c r="B18" s="5" t="s">
        <v>151</v>
      </c>
      <c r="C18" s="5" t="s">
        <v>137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8">
        <f t="shared" si="0"/>
        <v>2</v>
      </c>
      <c r="J18" s="7" t="s">
        <v>152</v>
      </c>
      <c r="K18" s="10">
        <v>100</v>
      </c>
    </row>
    <row r="19" spans="1:11" s="12" customFormat="1" x14ac:dyDescent="0.4">
      <c r="A19" s="16" t="s">
        <v>84</v>
      </c>
      <c r="B19" s="16" t="s">
        <v>153</v>
      </c>
      <c r="C19" s="16" t="s">
        <v>137</v>
      </c>
      <c r="D19" s="17">
        <v>2</v>
      </c>
      <c r="E19" s="17">
        <v>2</v>
      </c>
      <c r="F19" s="17">
        <v>0</v>
      </c>
      <c r="G19" s="17">
        <v>0</v>
      </c>
      <c r="H19" s="17">
        <v>0</v>
      </c>
      <c r="I19" s="18">
        <f t="shared" si="0"/>
        <v>4</v>
      </c>
      <c r="J19" s="19" t="s">
        <v>154</v>
      </c>
    </row>
    <row r="20" spans="1:11" x14ac:dyDescent="0.4">
      <c r="A20" s="9" t="s">
        <v>205</v>
      </c>
      <c r="B20" s="5" t="s">
        <v>97</v>
      </c>
      <c r="C20" s="5" t="s">
        <v>137</v>
      </c>
      <c r="D20" s="6">
        <v>1</v>
      </c>
      <c r="E20" s="6">
        <v>1</v>
      </c>
      <c r="F20" s="6">
        <v>0</v>
      </c>
      <c r="G20" s="6">
        <v>0</v>
      </c>
      <c r="H20" s="6">
        <v>0</v>
      </c>
      <c r="I20" s="8">
        <f t="shared" si="0"/>
        <v>2</v>
      </c>
      <c r="J20" s="7" t="s">
        <v>155</v>
      </c>
      <c r="K20" s="10">
        <v>100</v>
      </c>
    </row>
    <row r="21" spans="1:11" s="12" customFormat="1" x14ac:dyDescent="0.4">
      <c r="A21" s="16" t="s">
        <v>50</v>
      </c>
      <c r="B21" s="16" t="s">
        <v>49</v>
      </c>
      <c r="C21" s="16" t="s">
        <v>137</v>
      </c>
      <c r="D21" s="17">
        <v>2</v>
      </c>
      <c r="E21" s="17">
        <v>2</v>
      </c>
      <c r="F21" s="17">
        <v>0</v>
      </c>
      <c r="G21" s="17">
        <v>0</v>
      </c>
      <c r="H21" s="17">
        <v>1</v>
      </c>
      <c r="I21" s="18">
        <f t="shared" si="0"/>
        <v>5</v>
      </c>
      <c r="J21" s="19" t="s">
        <v>156</v>
      </c>
    </row>
    <row r="22" spans="1:11" x14ac:dyDescent="0.4">
      <c r="A22" s="9" t="s">
        <v>204</v>
      </c>
      <c r="B22" s="5" t="s">
        <v>103</v>
      </c>
      <c r="C22" s="5" t="s">
        <v>137</v>
      </c>
      <c r="D22" s="6">
        <v>1</v>
      </c>
      <c r="E22" s="6">
        <v>1</v>
      </c>
      <c r="F22" s="6">
        <v>0</v>
      </c>
      <c r="G22" s="6">
        <v>0</v>
      </c>
      <c r="H22" s="6">
        <v>0</v>
      </c>
      <c r="I22" s="8">
        <f t="shared" si="0"/>
        <v>2</v>
      </c>
      <c r="J22" s="7" t="s">
        <v>157</v>
      </c>
      <c r="K22" s="10">
        <v>100</v>
      </c>
    </row>
    <row r="23" spans="1:11" x14ac:dyDescent="0.4">
      <c r="A23" s="9" t="s">
        <v>203</v>
      </c>
      <c r="B23" s="5" t="s">
        <v>86</v>
      </c>
      <c r="C23" s="5" t="s">
        <v>137</v>
      </c>
      <c r="D23" s="6">
        <v>2</v>
      </c>
      <c r="E23" s="6">
        <v>0</v>
      </c>
      <c r="F23" s="6">
        <v>0</v>
      </c>
      <c r="G23" s="6">
        <v>0</v>
      </c>
      <c r="H23" s="6">
        <v>0</v>
      </c>
      <c r="I23" s="8">
        <f t="shared" si="0"/>
        <v>2</v>
      </c>
      <c r="J23" s="7" t="s">
        <v>158</v>
      </c>
      <c r="K23" s="10">
        <v>100</v>
      </c>
    </row>
    <row r="24" spans="1:11" x14ac:dyDescent="0.4">
      <c r="A24" s="9" t="s">
        <v>202</v>
      </c>
      <c r="B24" s="5" t="s">
        <v>100</v>
      </c>
      <c r="C24" s="5" t="s">
        <v>137</v>
      </c>
      <c r="D24" s="6">
        <v>2</v>
      </c>
      <c r="E24" s="6">
        <v>2</v>
      </c>
      <c r="F24" s="6">
        <v>0</v>
      </c>
      <c r="G24" s="6">
        <v>0</v>
      </c>
      <c r="H24" s="6">
        <v>0</v>
      </c>
      <c r="I24" s="8">
        <f t="shared" si="0"/>
        <v>4</v>
      </c>
      <c r="J24" s="7" t="s">
        <v>159</v>
      </c>
      <c r="K24" s="10">
        <v>100</v>
      </c>
    </row>
    <row r="25" spans="1:11" x14ac:dyDescent="0.4">
      <c r="A25" s="9" t="s">
        <v>183</v>
      </c>
      <c r="B25" s="5" t="s">
        <v>31</v>
      </c>
      <c r="C25" s="5"/>
      <c r="D25" s="6">
        <v>0</v>
      </c>
      <c r="E25" s="6">
        <v>0</v>
      </c>
      <c r="F25" s="6">
        <v>2</v>
      </c>
      <c r="G25" s="6">
        <v>2</v>
      </c>
      <c r="H25" s="6">
        <v>0</v>
      </c>
      <c r="I25" s="8">
        <f t="shared" si="0"/>
        <v>4</v>
      </c>
      <c r="J25" s="7" t="s">
        <v>160</v>
      </c>
      <c r="K25" s="10">
        <v>5</v>
      </c>
    </row>
    <row r="26" spans="1:11" s="12" customFormat="1" x14ac:dyDescent="0.4">
      <c r="A26" s="20" t="s">
        <v>185</v>
      </c>
      <c r="B26" s="16" t="s">
        <v>131</v>
      </c>
      <c r="C26" s="20" t="s">
        <v>199</v>
      </c>
      <c r="D26" s="17">
        <v>1</v>
      </c>
      <c r="E26" s="17">
        <v>1</v>
      </c>
      <c r="F26" s="17">
        <v>0</v>
      </c>
      <c r="G26" s="17">
        <v>0</v>
      </c>
      <c r="H26" s="17">
        <v>0</v>
      </c>
      <c r="I26" s="18">
        <f t="shared" si="0"/>
        <v>2</v>
      </c>
      <c r="J26" s="19" t="s">
        <v>161</v>
      </c>
      <c r="K26" s="12">
        <v>5</v>
      </c>
    </row>
    <row r="27" spans="1:11" x14ac:dyDescent="0.4">
      <c r="A27" s="9" t="s">
        <v>186</v>
      </c>
      <c r="B27" s="5" t="s">
        <v>58</v>
      </c>
      <c r="C27" s="5" t="s">
        <v>57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8">
        <f t="shared" si="0"/>
        <v>1</v>
      </c>
      <c r="J27" s="7" t="s">
        <v>162</v>
      </c>
      <c r="K27" s="10">
        <v>10</v>
      </c>
    </row>
    <row r="28" spans="1:11" x14ac:dyDescent="0.4">
      <c r="A28" s="9" t="s">
        <v>187</v>
      </c>
      <c r="B28" s="5" t="s">
        <v>113</v>
      </c>
      <c r="C28" s="5" t="s">
        <v>112</v>
      </c>
      <c r="D28" s="6">
        <v>1</v>
      </c>
      <c r="E28" s="6">
        <v>1</v>
      </c>
      <c r="F28" s="6">
        <v>0</v>
      </c>
      <c r="G28" s="6">
        <v>0</v>
      </c>
      <c r="H28" s="6">
        <v>0</v>
      </c>
      <c r="I28" s="8">
        <f t="shared" si="0"/>
        <v>2</v>
      </c>
      <c r="J28" s="7" t="s">
        <v>163</v>
      </c>
      <c r="K28" s="10">
        <v>20</v>
      </c>
    </row>
    <row r="29" spans="1:11" x14ac:dyDescent="0.4">
      <c r="A29" s="9" t="s">
        <v>188</v>
      </c>
      <c r="B29" s="5" t="s">
        <v>109</v>
      </c>
      <c r="C29" s="5" t="s">
        <v>108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8">
        <f t="shared" si="0"/>
        <v>2</v>
      </c>
      <c r="J29" s="7" t="s">
        <v>164</v>
      </c>
      <c r="K29" s="10">
        <v>10</v>
      </c>
    </row>
    <row r="30" spans="1:11" x14ac:dyDescent="0.4">
      <c r="A30" s="5" t="s">
        <v>122</v>
      </c>
      <c r="B30" s="5" t="s">
        <v>121</v>
      </c>
      <c r="C30" s="5" t="s">
        <v>120</v>
      </c>
      <c r="D30" s="6">
        <v>1</v>
      </c>
      <c r="E30" s="6">
        <v>1</v>
      </c>
      <c r="F30" s="6">
        <v>0</v>
      </c>
      <c r="G30" s="6">
        <v>0</v>
      </c>
      <c r="H30" s="6">
        <v>0</v>
      </c>
      <c r="I30" s="8">
        <f t="shared" si="0"/>
        <v>2</v>
      </c>
      <c r="J30" s="7" t="s">
        <v>165</v>
      </c>
      <c r="K30" s="11"/>
    </row>
    <row r="31" spans="1:11" s="12" customFormat="1" x14ac:dyDescent="0.4">
      <c r="A31" s="16" t="s">
        <v>38</v>
      </c>
      <c r="B31" s="16" t="s">
        <v>37</v>
      </c>
      <c r="C31" s="16" t="s">
        <v>137</v>
      </c>
      <c r="D31" s="17">
        <v>0</v>
      </c>
      <c r="E31" s="17">
        <v>0</v>
      </c>
      <c r="F31" s="17">
        <v>0</v>
      </c>
      <c r="G31" s="17">
        <v>0</v>
      </c>
      <c r="H31" s="17">
        <v>1</v>
      </c>
      <c r="I31" s="18">
        <f t="shared" si="0"/>
        <v>1</v>
      </c>
      <c r="J31" s="19" t="s">
        <v>166</v>
      </c>
    </row>
    <row r="32" spans="1:11" x14ac:dyDescent="0.4">
      <c r="A32" s="9" t="s">
        <v>190</v>
      </c>
      <c r="B32" s="9" t="s">
        <v>189</v>
      </c>
      <c r="C32" s="5" t="s">
        <v>167</v>
      </c>
      <c r="D32" s="6">
        <v>0</v>
      </c>
      <c r="E32" s="6">
        <v>0</v>
      </c>
      <c r="F32" s="6">
        <v>2</v>
      </c>
      <c r="G32" s="6">
        <v>3</v>
      </c>
      <c r="H32" s="6">
        <v>0</v>
      </c>
      <c r="I32" s="8">
        <f t="shared" si="0"/>
        <v>5</v>
      </c>
      <c r="J32" s="7" t="s">
        <v>168</v>
      </c>
      <c r="K32" s="10">
        <v>10</v>
      </c>
    </row>
    <row r="33" spans="1:11" x14ac:dyDescent="0.4">
      <c r="A33" s="9" t="s">
        <v>191</v>
      </c>
      <c r="B33" s="5" t="s">
        <v>127</v>
      </c>
      <c r="C33" s="5" t="s">
        <v>123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8">
        <f t="shared" si="0"/>
        <v>2</v>
      </c>
      <c r="J33" s="7" t="s">
        <v>169</v>
      </c>
      <c r="K33" s="10">
        <v>10</v>
      </c>
    </row>
    <row r="34" spans="1:11" x14ac:dyDescent="0.4">
      <c r="A34" s="9" t="s">
        <v>192</v>
      </c>
      <c r="B34" s="5" t="s">
        <v>81</v>
      </c>
      <c r="C34" s="5" t="s">
        <v>77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8">
        <f t="shared" si="0"/>
        <v>2</v>
      </c>
      <c r="J34" s="7" t="s">
        <v>170</v>
      </c>
      <c r="K34" s="10">
        <v>50</v>
      </c>
    </row>
    <row r="35" spans="1:11" x14ac:dyDescent="0.4">
      <c r="A35" s="9" t="s">
        <v>193</v>
      </c>
      <c r="B35" s="5" t="s">
        <v>71</v>
      </c>
      <c r="C35" s="5" t="s">
        <v>148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8">
        <f t="shared" si="0"/>
        <v>2</v>
      </c>
      <c r="J35" s="7" t="s">
        <v>171</v>
      </c>
      <c r="K35" s="10">
        <v>5</v>
      </c>
    </row>
    <row r="36" spans="1:11" x14ac:dyDescent="0.4">
      <c r="A36" s="9" t="s">
        <v>194</v>
      </c>
      <c r="B36" s="5" t="s">
        <v>64</v>
      </c>
      <c r="C36" s="5" t="s">
        <v>172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8">
        <f t="shared" si="0"/>
        <v>2</v>
      </c>
      <c r="J36" s="7" t="s">
        <v>173</v>
      </c>
      <c r="K36" s="10">
        <v>10</v>
      </c>
    </row>
    <row r="37" spans="1:11" x14ac:dyDescent="0.4">
      <c r="A37" s="9" t="s">
        <v>195</v>
      </c>
      <c r="B37" s="5" t="s">
        <v>74</v>
      </c>
      <c r="C37" s="5" t="s">
        <v>137</v>
      </c>
      <c r="D37" s="6">
        <v>2</v>
      </c>
      <c r="E37" s="6">
        <v>2</v>
      </c>
      <c r="F37" s="6">
        <v>0</v>
      </c>
      <c r="G37" s="6">
        <v>0</v>
      </c>
      <c r="H37" s="6">
        <v>0</v>
      </c>
      <c r="I37" s="8">
        <f t="shared" si="0"/>
        <v>4</v>
      </c>
      <c r="J37" s="7" t="s">
        <v>174</v>
      </c>
      <c r="K37" s="10">
        <v>20</v>
      </c>
    </row>
    <row r="38" spans="1:11" x14ac:dyDescent="0.4">
      <c r="A38" s="5" t="s">
        <v>175</v>
      </c>
      <c r="B38" s="5" t="s">
        <v>55</v>
      </c>
      <c r="C38" s="5"/>
      <c r="D38" s="6">
        <v>0</v>
      </c>
      <c r="E38" s="6">
        <v>0</v>
      </c>
      <c r="F38" s="6">
        <v>0</v>
      </c>
      <c r="G38" s="6">
        <v>0</v>
      </c>
      <c r="H38" s="6">
        <v>1</v>
      </c>
      <c r="I38" s="8">
        <f t="shared" si="0"/>
        <v>1</v>
      </c>
      <c r="J38" s="7" t="s">
        <v>176</v>
      </c>
    </row>
  </sheetData>
  <mergeCells count="2">
    <mergeCell ref="A1:J1"/>
    <mergeCell ref="A2:J2"/>
  </mergeCells>
  <phoneticPr fontId="8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彰悟 伊藤</cp:lastModifiedBy>
  <dcterms:modified xsi:type="dcterms:W3CDTF">2026-09-08T00:56:24Z</dcterms:modified>
</cp:coreProperties>
</file>